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айминг" sheetId="1" state="visible" r:id="rId3"/>
  </sheets>
  <definedNames>
    <definedName function="false" hidden="false" localSheetId="0" name="_xlnm.Print_Area" vbProcedure="false">Тайминг!$A$1:$P$52</definedName>
    <definedName function="false" hidden="false" localSheetId="0" name="_xlnm.Print_Titles" vbProcedure="false">Тайминг!$5:$6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<sst xmlns="http://schemas.openxmlformats.org/spreadsheetml/2006/main" count="148" uniqueCount="111">
  <si>
    <t xml:space="preserve">Тайминг подготовки платформы «Новогодняя ночь длиной в страну» · ПСБ</t>
  </si>
  <si>
    <t xml:space="preserve">Deep · 21.10.2026 · ориентиры: прототип — на этой неделе, дизайн и разработка параллельно — с 26 октября, передача на проверку СБ — к 15 ноября, запуск — 1 декабря</t>
  </si>
  <si>
    <t xml:space="preserve">Обозначения:</t>
  </si>
  <si>
    <t xml:space="preserve">Deep</t>
  </si>
  <si>
    <t xml:space="preserve">ПСБ</t>
  </si>
  <si>
    <t xml:space="preserve">Deep + ПСБ</t>
  </si>
  <si>
    <t xml:space="preserve">◆ веха</t>
  </si>
  <si>
    <t xml:space="preserve">эта неделя</t>
  </si>
  <si>
    <t xml:space="preserve">№</t>
  </si>
  <si>
    <t xml:space="preserve">Блок / задача</t>
  </si>
  <si>
    <t xml:space="preserve">Кто</t>
  </si>
  <si>
    <t xml:space="preserve">Начало</t>
  </si>
  <si>
    <t xml:space="preserve">Окончание</t>
  </si>
  <si>
    <t xml:space="preserve">Подготовка</t>
  </si>
  <si>
    <t xml:space="preserve">Запуск и работа платформы</t>
  </si>
  <si>
    <t xml:space="preserve">Комментарий</t>
  </si>
  <si>
    <t xml:space="preserve">БАЗОВАЯ ПОДГОТОВКА — общее для всей платформы</t>
  </si>
  <si>
    <t xml:space="preserve">1.1</t>
  </si>
  <si>
    <t xml:space="preserve">Финализация прототипа (телефон и десктоп) и ТЗ</t>
  </si>
  <si>
    <t xml:space="preserve">1.2</t>
  </si>
  <si>
    <t xml:space="preserve">Дизайн-система и общие экраны: обложка, пролог, персонаж, вход по коду, маршрут, рейтинг, кабинет</t>
  </si>
  <si>
    <t xml:space="preserve">мобильная версия — в приоритете; десктоп — развороты книги</t>
  </si>
  <si>
    <t xml:space="preserve">1.3</t>
  </si>
  <si>
    <t xml:space="preserve">Разработка ядра: каркас, персональный код (выдача, вход, выход) и почта, баллы, рейтинг, кабинет, админка</t>
  </si>
  <si>
    <t xml:space="preserve">API — предложение в README, раздел 11</t>
  </si>
  <si>
    <t xml:space="preserve">1.4</t>
  </si>
  <si>
    <t xml:space="preserve">Хостинг, требования СБ, интеграция во внутренний контур</t>
  </si>
  <si>
    <t xml:space="preserve">данные и доступы — от ПСБ</t>
  </si>
  <si>
    <t xml:space="preserve">1.5</t>
  </si>
  <si>
    <t xml:space="preserve">◆ Передача платформы на проверку СБ</t>
  </si>
  <si>
    <t xml:space="preserve">к 15 ноября</t>
  </si>
  <si>
    <t xml:space="preserve">1.6</t>
  </si>
  <si>
    <t xml:space="preserve">Проверка СБ</t>
  </si>
  <si>
    <t xml:space="preserve">срок проверки — уточнить у ПСБ</t>
  </si>
  <si>
    <t xml:space="preserve">1.7</t>
  </si>
  <si>
    <t xml:space="preserve">Доделки по замечаниям, тексты к запуску: онбординг, правила участия, письма</t>
  </si>
  <si>
    <t xml:space="preserve">1.8</t>
  </si>
  <si>
    <t xml:space="preserve">Наполнение контентом, тестирование, приёмка</t>
  </si>
  <si>
    <t xml:space="preserve">1.9</t>
  </si>
  <si>
    <t xml:space="preserve">◆ Запуск платформы</t>
  </si>
  <si>
    <t xml:space="preserve">1.10</t>
  </si>
  <si>
    <t xml:space="preserve">Сопровождение</t>
  </si>
  <si>
    <t xml:space="preserve">до 15 января</t>
  </si>
  <si>
    <t xml:space="preserve">АКТИВНОСТИ — логика → дизайн → тексты → разработка</t>
  </si>
  <si>
    <t xml:space="preserve">2</t>
  </si>
  <si>
    <t xml:space="preserve">«Спроси дорогу» — квиз</t>
  </si>
  <si>
    <t xml:space="preserve">2.1</t>
  </si>
  <si>
    <t xml:space="preserve">Логика: механика, наборы по неделям, баллы</t>
  </si>
  <si>
    <t xml:space="preserve">2.2</t>
  </si>
  <si>
    <t xml:space="preserve">Дизайн: экраны квиза, узоры</t>
  </si>
  <si>
    <t xml:space="preserve">2.3</t>
  </si>
  <si>
    <t xml:space="preserve">Тексты: 4 набора по 10 вопросов, эксплейнеры</t>
  </si>
  <si>
    <t xml:space="preserve">2.4</t>
  </si>
  <si>
    <t xml:space="preserve">Разработка</t>
  </si>
  <si>
    <t xml:space="preserve">3</t>
  </si>
  <si>
    <t xml:space="preserve">«Лес» — раннер</t>
  </si>
  <si>
    <t xml:space="preserve">3.1</t>
  </si>
  <si>
    <t xml:space="preserve">Логика: 20 этапов, 3 жизни, подарки, альтернативный способ</t>
  </si>
  <si>
    <t xml:space="preserve">3.2</t>
  </si>
  <si>
    <t xml:space="preserve">Дизайн: графика игры и экраны</t>
  </si>
  <si>
    <t xml:space="preserve">3.3</t>
  </si>
  <si>
    <t xml:space="preserve">Тексты: реплики Старшего сына, правила, итоги забега</t>
  </si>
  <si>
    <t xml:space="preserve">3.4</t>
  </si>
  <si>
    <t xml:space="preserve">Разработка: игра и альтернативный способ</t>
  </si>
  <si>
    <t xml:space="preserve">самая тяжёлая часть — стартует сразу</t>
  </si>
  <si>
    <t xml:space="preserve">4</t>
  </si>
  <si>
    <t xml:space="preserve">«Украсить ёлку»</t>
  </si>
  <si>
    <t xml:space="preserve">4.1</t>
  </si>
  <si>
    <t xml:space="preserve">Логика: шаги, 6 стилей шара, ИИ-генерация</t>
  </si>
  <si>
    <t xml:space="preserve">сервис ИИ-генерации — согласовать с ПСБ</t>
  </si>
  <si>
    <t xml:space="preserve">4.2</t>
  </si>
  <si>
    <t xml:space="preserve">Дизайн: экраны, стили шаров, общая ёлка</t>
  </si>
  <si>
    <t xml:space="preserve">4.3</t>
  </si>
  <si>
    <t xml:space="preserve">Тексты: реплики Дочери, подсказки</t>
  </si>
  <si>
    <t xml:space="preserve">4.4</t>
  </si>
  <si>
    <t xml:space="preserve">Разработка: загрузка фото, ИИ-генерация, общая ёлка</t>
  </si>
  <si>
    <t xml:space="preserve">5</t>
  </si>
  <si>
    <t xml:space="preserve">Финал маршрута и «Сундук чудес»</t>
  </si>
  <si>
    <t xml:space="preserve">5.1</t>
  </si>
  <si>
    <t xml:space="preserve">Логика: персональная сказка, карточка героя, лототрон, призы и коды</t>
  </si>
  <si>
    <t xml:space="preserve">призовой фонд и коды — от ПСБ</t>
  </si>
  <si>
    <t xml:space="preserve">5.2</t>
  </si>
  <si>
    <t xml:space="preserve">Дизайн</t>
  </si>
  <si>
    <t xml:space="preserve">5.3</t>
  </si>
  <si>
    <t xml:space="preserve">Тексты: шаблон персональной сказки, тексты сундука</t>
  </si>
  <si>
    <t xml:space="preserve">5.4</t>
  </si>
  <si>
    <t xml:space="preserve">6</t>
  </si>
  <si>
    <t xml:space="preserve">Сказка-сериал</t>
  </si>
  <si>
    <t xml:space="preserve">6.1</t>
  </si>
  <si>
    <t xml:space="preserve">Логика: сюжетная арка, голосования по 48 часов, цельная сказка</t>
  </si>
  <si>
    <t xml:space="preserve">6.2</t>
  </si>
  <si>
    <t xml:space="preserve">Дизайн: оглавление, глава, голосование</t>
  </si>
  <si>
    <t xml:space="preserve">6.3</t>
  </si>
  <si>
    <t xml:space="preserve">Тексты: глава 1, три варианта продолжения, иллюстрация</t>
  </si>
  <si>
    <t xml:space="preserve">6.4</t>
  </si>
  <si>
    <t xml:space="preserve">Разработка: главы, голосования, PDF</t>
  </si>
  <si>
    <t xml:space="preserve">6.5</t>
  </si>
  <si>
    <t xml:space="preserve">Главы 2–6 и цельная сказка — по итогам голосований</t>
  </si>
  <si>
    <t xml:space="preserve">глава раз в 3–4 дня; цельная сказка — 25 декабря</t>
  </si>
  <si>
    <t xml:space="preserve">7</t>
  </si>
  <si>
    <t xml:space="preserve">«Пряничная избушка»</t>
  </si>
  <si>
    <t xml:space="preserve">7.1</t>
  </si>
  <si>
    <t xml:space="preserve">Логика: 4 сказки на старте и по 2 в неделю, плеер</t>
  </si>
  <si>
    <t xml:space="preserve">7.2</t>
  </si>
  <si>
    <t xml:space="preserve">Дизайн: страница и обложки сказок</t>
  </si>
  <si>
    <t xml:space="preserve">7.3</t>
  </si>
  <si>
    <t xml:space="preserve">Тексты и запись: 10 сказок голосом Жены Михаила</t>
  </si>
  <si>
    <t xml:space="preserve">права на тексты и озвучка — уточнить</t>
  </si>
  <si>
    <t xml:space="preserve">7.4</t>
  </si>
  <si>
    <t xml:space="preserve">Разработка: плеер и расписание</t>
  </si>
  <si>
    <t xml:space="preserve">Даты в столбцах «Начало» и «Окончание» можно менять — полосы на графике перестроятся. 4 ноября — выходной (День народного единства).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</si>
</sst>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3254C"/>
      <name val="Arial"/>
      <family val="0"/>
      <charset val="1"/>
    </font>
    <font>
      <sz val="9"/>
      <color rgb="FF5A6380"/>
      <name val="Arial"/>
      <family val="0"/>
      <charset val="1"/>
    </font>
    <font>
      <b val="true"/>
      <sz val="8.5"/>
      <color rgb="FF13254C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C1C1C"/>
      <name val="Arial"/>
      <family val="0"/>
      <charset val="1"/>
    </font>
    <font>
      <b val="true"/>
      <sz val="8"/>
      <color rgb="FF13254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.5"/>
      <color rgb="FF1C2452"/>
      <name val="Arial"/>
      <family val="0"/>
      <charset val="1"/>
    </font>
    <font>
      <i val="true"/>
      <sz val="8.5"/>
      <color rgb="FF5A6380"/>
      <name val="Arial"/>
      <family val="0"/>
      <charset val="1"/>
    </font>
    <font>
      <b val="true"/>
      <sz val="9.5"/>
      <color rgb="FF1C2452"/>
      <name val="Arial"/>
      <family val="0"/>
      <charset val="1"/>
    </font>
    <font>
      <b val="true"/>
      <sz val="9.5"/>
      <color rgb="FF9E2A1F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i val="true"/>
      <sz val="8.5"/>
      <color rgb="FF5A6380"/>
      <name val="Arial"/>
      <family val="0"/>
      <charset val="1"/>
    </font>
    <font>
      <b val="true"/>
      <sz val="10"/>
      <color rgb="FF13254C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3E64C8"/>
        <bgColor rgb="FF5A6380"/>
      </patternFill>
    </fill>
    <fill>
      <patternFill patternType="solid">
        <fgColor rgb="FFF0A030"/>
        <bgColor rgb="FFE9BD68"/>
      </patternFill>
    </fill>
    <fill>
      <patternFill patternType="solid">
        <fgColor rgb="FF2FA39A"/>
        <bgColor rgb="FF33CCCC"/>
      </patternFill>
    </fill>
    <fill>
      <patternFill patternType="solid">
        <fgColor rgb="FFC0392B"/>
        <bgColor rgb="FF9E2A1F"/>
      </patternFill>
    </fill>
    <fill>
      <patternFill patternType="solid">
        <fgColor rgb="FFE9BD68"/>
        <bgColor rgb="FFF0A030"/>
      </patternFill>
    </fill>
    <fill>
      <patternFill patternType="solid">
        <fgColor rgb="FF13254C"/>
        <bgColor rgb="FF1C2452"/>
      </patternFill>
    </fill>
    <fill>
      <patternFill patternType="solid">
        <fgColor rgb="FF2E3F73"/>
        <bgColor rgb="FF1F2F5C"/>
      </patternFill>
    </fill>
    <fill>
      <patternFill patternType="solid">
        <fgColor rgb="FFE6EAF4"/>
        <bgColor rgb="FFDDE4F4"/>
      </patternFill>
    </fill>
    <fill>
      <patternFill patternType="solid">
        <fgColor rgb="FFDDE4F4"/>
        <bgColor rgb="FFDADFE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ADFEA"/>
      </left>
      <right style="thin">
        <color rgb="FFDADFEA"/>
      </right>
      <top/>
      <bottom style="thin">
        <color rgb="FFDADFEA"/>
      </bottom>
      <diagonal/>
    </border>
    <border diagonalUp="false" diagonalDown="false">
      <left style="medium">
        <color rgb="FF13254C"/>
      </left>
      <right style="thin">
        <color rgb="FFDADFEA"/>
      </right>
      <top/>
      <bottom style="thin">
        <color rgb="FFDADFEA"/>
      </bottom>
      <diagonal/>
    </border>
    <border diagonalUp="false" diagonalDown="false">
      <left/>
      <right style="thin">
        <color rgb="FFDADFEA"/>
      </right>
      <top/>
      <bottom style="thin">
        <color rgb="FFDADF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C0392B"/>
        </patternFill>
      </fill>
    </dxf>
    <dxf>
      <fill>
        <patternFill>
          <bgColor rgb="FF1F2F5C"/>
        </patternFill>
      </fill>
    </dxf>
    <dxf>
      <fill>
        <patternFill>
          <bgColor rgb="FF3E64C8"/>
        </patternFill>
      </fill>
    </dxf>
    <dxf>
      <fill>
        <patternFill>
          <bgColor rgb="FFF0A030"/>
        </patternFill>
      </fill>
    </dxf>
    <dxf>
      <fill>
        <patternFill>
          <bgColor rgb="FF2FA39A"/>
        </patternFill>
      </fill>
    </dxf>
    <dxf>
      <fill>
        <patternFill>
          <bgColor rgb="FFFFF3D1"/>
        </patternFill>
      </fill>
    </dxf>
    <dxf>
      <fill>
        <patternFill>
          <bgColor rgb="FFE9BD6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392B"/>
      <rgbColor rgb="FFFFF3D1"/>
      <rgbColor rgb="FFE6EAF4"/>
      <rgbColor rgb="FF660066"/>
      <rgbColor rgb="FFFF8080"/>
      <rgbColor rgb="FF0066CC"/>
      <rgbColor rgb="FFDADF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4F4"/>
      <rgbColor rgb="FFCCFFCC"/>
      <rgbColor rgb="FFFFFF99"/>
      <rgbColor rgb="FF99CCFF"/>
      <rgbColor rgb="FFFF99CC"/>
      <rgbColor rgb="FFCC99FF"/>
      <rgbColor rgb="FFE9BD68"/>
      <rgbColor rgb="FF3E64C8"/>
      <rgbColor rgb="FF33CCCC"/>
      <rgbColor rgb="FF99CC00"/>
      <rgbColor rgb="FFFFCC00"/>
      <rgbColor rgb="FFF0A030"/>
      <rgbColor rgb="FFFF6600"/>
      <rgbColor rgb="FF5A6380"/>
      <rgbColor rgb="FF969696"/>
      <rgbColor rgb="FF13254C"/>
      <rgbColor rgb="FF2FA39A"/>
      <rgbColor rgb="FF1C2452"/>
      <rgbColor rgb="FF1C1C1C"/>
      <rgbColor rgb="FF9E2A1F"/>
      <rgbColor rgb="FF993366"/>
      <rgbColor rgb="FF2E3F73"/>
      <rgbColor rgb="FF1F2F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15" min="6" style="0" width="10.51"/>
    <col collapsed="false" customWidth="true" hidden="false" outlineLevel="0" max="16" min="16" style="0" width="38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2</v>
      </c>
      <c r="C3" s="4" t="s">
        <v>3</v>
      </c>
      <c r="D3" s="5" t="s">
        <v>4</v>
      </c>
      <c r="E3" s="6" t="s">
        <v>5</v>
      </c>
      <c r="F3" s="7" t="s">
        <v>6</v>
      </c>
      <c r="G3" s="8" t="s">
        <v>7</v>
      </c>
    </row>
    <row r="5" customFormat="false" ht="15.75" hidden="false" customHeight="true" outlineLevel="0" collapsed="false">
      <c r="A5" s="9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9"/>
      <c r="H5" s="9"/>
      <c r="I5" s="9"/>
      <c r="J5" s="9"/>
      <c r="K5" s="9"/>
      <c r="L5" s="10" t="s">
        <v>14</v>
      </c>
      <c r="M5" s="10"/>
      <c r="N5" s="10"/>
      <c r="O5" s="10"/>
      <c r="P5" s="9" t="s">
        <v>15</v>
      </c>
    </row>
    <row r="6" customFormat="false" ht="25.5" hidden="false" customHeight="true" outlineLevel="0" collapsed="false">
      <c r="A6" s="9"/>
      <c r="B6" s="9"/>
      <c r="C6" s="9"/>
      <c r="D6" s="9"/>
      <c r="E6" s="9"/>
      <c r="F6" s="11" t="str">
        <f aca="false">IF(MONTH(F7)=MONTH(F7+6),DAY(F7)&amp;"–"&amp;DAY(F7+6)&amp;" "&amp;CHOOSE(MONTH(F7),"янв","фев","мар","апр","мая","июн","июл","авг","сен","окт","ноя","дек"),DAY(F7)&amp;" "&amp;CHOOSE(MONTH(F7),"янв","фев","мар","апр","мая","июн","июл","авг","сен","окт","ноя","дек")&amp;" – "&amp;DAY(F7+6)&amp;" "&amp;CHOOSE(MONTH(F7+6),"янв","фев","мар","апр","мая","июн","июл","авг","сен","окт","ноя","дек"))</f>
        <v>19–25 окт</v>
      </c>
      <c r="G6" s="11" t="str">
        <f aca="false">IF(MONTH(G7)=MONTH(G7+6),DAY(G7)&amp;"–"&amp;DAY(G7+6)&amp;" "&amp;CHOOSE(MONTH(G7),"янв","фев","мар","апр","мая","июн","июл","авг","сен","окт","ноя","дек"),DAY(G7)&amp;" "&amp;CHOOSE(MONTH(G7),"янв","фев","мар","апр","мая","июн","июл","авг","сен","окт","ноя","дек")&amp;" – "&amp;DAY(G7+6)&amp;" "&amp;CHOOSE(MONTH(G7+6),"янв","фев","мар","апр","мая","июн","июл","авг","сен","окт","ноя","дек"))</f>
        <v>26 окт – 1 ноя</v>
      </c>
      <c r="H6" s="11" t="str">
        <f aca="false">IF(MONTH(H7)=MONTH(H7+6),DAY(H7)&amp;"–"&amp;DAY(H7+6)&amp;" "&amp;CHOOSE(MONTH(H7),"янв","фев","мар","апр","мая","июн","июл","авг","сен","окт","ноя","дек"),DAY(H7)&amp;" "&amp;CHOOSE(MONTH(H7),"янв","фев","мар","апр","мая","июн","июл","авг","сен","окт","ноя","дек")&amp;" – "&amp;DAY(H7+6)&amp;" "&amp;CHOOSE(MONTH(H7+6),"янв","фев","мар","апр","мая","июн","июл","авг","сен","окт","ноя","дек"))</f>
        <v>2–8 ноя</v>
      </c>
      <c r="I6" s="11" t="str">
        <f aca="false">IF(MONTH(I7)=MONTH(I7+6),DAY(I7)&amp;"–"&amp;DAY(I7+6)&amp;" "&amp;CHOOSE(MONTH(I7),"янв","фев","мар","апр","мая","июн","июл","авг","сен","окт","ноя","дек"),DAY(I7)&amp;" "&amp;CHOOSE(MONTH(I7),"янв","фев","мар","апр","мая","июн","июл","авг","сен","окт","ноя","дек")&amp;" – "&amp;DAY(I7+6)&amp;" "&amp;CHOOSE(MONTH(I7+6),"янв","фев","мар","апр","мая","июн","июл","авг","сен","окт","ноя","дек"))</f>
        <v>9–15 ноя</v>
      </c>
      <c r="J6" s="11" t="str">
        <f aca="false">IF(MONTH(J7)=MONTH(J7+6),DAY(J7)&amp;"–"&amp;DAY(J7+6)&amp;" "&amp;CHOOSE(MONTH(J7),"янв","фев","мар","апр","мая","июн","июл","авг","сен","окт","ноя","дек"),DAY(J7)&amp;" "&amp;CHOOSE(MONTH(J7),"янв","фев","мар","апр","мая","июн","июл","авг","сен","окт","ноя","дек")&amp;" – "&amp;DAY(J7+6)&amp;" "&amp;CHOOSE(MONTH(J7+6),"янв","фев","мар","апр","мая","июн","июл","авг","сен","окт","ноя","дек"))</f>
        <v>16–22 ноя</v>
      </c>
      <c r="K6" s="11" t="str">
        <f aca="false">IF(MONTH(K7)=MONTH(K7+6),DAY(K7)&amp;"–"&amp;DAY(K7+6)&amp;" "&amp;CHOOSE(MONTH(K7),"янв","фев","мар","апр","мая","июн","июл","авг","сен","окт","ноя","дек"),DAY(K7)&amp;" "&amp;CHOOSE(MONTH(K7),"янв","фев","мар","апр","мая","июн","июл","авг","сен","окт","ноя","дек")&amp;" – "&amp;DAY(K7+6)&amp;" "&amp;CHOOSE(MONTH(K7+6),"янв","фев","мар","апр","мая","июн","июл","авг","сен","окт","ноя","дек"))</f>
        <v>23–29 ноя</v>
      </c>
      <c r="L6" s="12" t="str">
        <f aca="false">IF(MONTH(L7)=MONTH(L7+6),DAY(L7)&amp;"–"&amp;DAY(L7+6)&amp;" "&amp;CHOOSE(MONTH(L7),"янв","фев","мар","апр","мая","июн","июл","авг","сен","окт","ноя","дек"),DAY(L7)&amp;" "&amp;CHOOSE(MONTH(L7),"янв","фев","мар","апр","мая","июн","июл","авг","сен","окт","ноя","дек")&amp;" – "&amp;DAY(L7+6)&amp;" "&amp;CHOOSE(MONTH(L7+6),"янв","фев","мар","апр","мая","июн","июл","авг","сен","окт","ноя","дек"))</f>
        <v>30 ноя – 6 дек</v>
      </c>
      <c r="M6" s="11" t="str">
        <f aca="false">IF(MONTH(M7)=MONTH(M7+6),DAY(M7)&amp;"–"&amp;DAY(M7+6)&amp;" "&amp;CHOOSE(MONTH(M7),"янв","фев","мар","апр","мая","июн","июл","авг","сен","окт","ноя","дек"),DAY(M7)&amp;" "&amp;CHOOSE(MONTH(M7),"янв","фев","мар","апр","мая","июн","июл","авг","сен","окт","ноя","дек")&amp;" – "&amp;DAY(M7+6)&amp;" "&amp;CHOOSE(MONTH(M7+6),"янв","фев","мар","апр","мая","июн","июл","авг","сен","окт","ноя","дек"))</f>
        <v>7–13 дек</v>
      </c>
      <c r="N6" s="11" t="str">
        <f aca="false">IF(MONTH(N7)=MONTH(N7+6),DAY(N7)&amp;"–"&amp;DAY(N7+6)&amp;" "&amp;CHOOSE(MONTH(N7),"янв","фев","мар","апр","мая","июн","июл","авг","сен","окт","ноя","дек"),DAY(N7)&amp;" "&amp;CHOOSE(MONTH(N7),"янв","фев","мар","апр","мая","июн","июл","авг","сен","окт","ноя","дек")&amp;" – "&amp;DAY(N7+6)&amp;" "&amp;CHOOSE(MONTH(N7+6),"янв","фев","мар","апр","мая","июн","июл","авг","сен","окт","ноя","дек"))</f>
        <v>14–20 дек</v>
      </c>
      <c r="O6" s="11" t="str">
        <f aca="false">IF(MONTH(O7)=MONTH(O7+6),DAY(O7)&amp;"–"&amp;DAY(O7+6)&amp;" "&amp;CHOOSE(MONTH(O7),"янв","фев","мар","апр","мая","июн","июл","авг","сен","окт","ноя","дек"),DAY(O7)&amp;" "&amp;CHOOSE(MONTH(O7),"янв","фев","мар","апр","мая","июн","июл","авг","сен","окт","ноя","дек")&amp;" – "&amp;DAY(O7+6)&amp;" "&amp;CHOOSE(MONTH(O7+6),"янв","фев","мар","апр","мая","июн","июл","авг","сен","окт","ноя","дек"))</f>
        <v>21–27 дек</v>
      </c>
      <c r="P6" s="9"/>
    </row>
    <row r="7" customFormat="false" ht="15" hidden="true" customHeight="false" outlineLevel="0" collapsed="false">
      <c r="F7" s="13" t="n">
        <f aca="false">DATE(2026,10,19)</f>
        <v>46314</v>
      </c>
      <c r="G7" s="13" t="n">
        <f aca="false">F7+7</f>
        <v>46321</v>
      </c>
      <c r="H7" s="13" t="n">
        <f aca="false">G7+7</f>
        <v>46328</v>
      </c>
      <c r="I7" s="13" t="n">
        <f aca="false">H7+7</f>
        <v>46335</v>
      </c>
      <c r="J7" s="13" t="n">
        <f aca="false">I7+7</f>
        <v>46342</v>
      </c>
      <c r="K7" s="13" t="n">
        <f aca="false">J7+7</f>
        <v>46349</v>
      </c>
      <c r="L7" s="13" t="n">
        <f aca="false">K7+7</f>
        <v>46356</v>
      </c>
      <c r="M7" s="13" t="n">
        <f aca="false">L7+7</f>
        <v>46363</v>
      </c>
      <c r="N7" s="13" t="n">
        <f aca="false">M7+7</f>
        <v>46370</v>
      </c>
      <c r="O7" s="13" t="n">
        <f aca="false">N7+7</f>
        <v>46377</v>
      </c>
    </row>
    <row r="8" customFormat="false" ht="19.5" hidden="false" customHeight="true" outlineLevel="0" collapsed="false">
      <c r="A8" s="14"/>
      <c r="B8" s="15" t="s">
        <v>16</v>
      </c>
      <c r="C8" s="14"/>
      <c r="D8" s="16"/>
      <c r="E8" s="16"/>
      <c r="F8" s="17"/>
      <c r="G8" s="17"/>
      <c r="H8" s="17"/>
      <c r="I8" s="17"/>
      <c r="J8" s="17"/>
      <c r="K8" s="17"/>
      <c r="L8" s="18"/>
      <c r="M8" s="17"/>
      <c r="N8" s="17"/>
      <c r="O8" s="17"/>
      <c r="P8" s="15"/>
    </row>
    <row r="9" customFormat="false" ht="18" hidden="false" customHeight="true" outlineLevel="0" collapsed="false">
      <c r="A9" s="19" t="s">
        <v>17</v>
      </c>
      <c r="B9" s="20" t="s">
        <v>18</v>
      </c>
      <c r="C9" s="19" t="s">
        <v>3</v>
      </c>
      <c r="D9" s="21" t="n">
        <v>46314</v>
      </c>
      <c r="E9" s="21" t="n">
        <v>46318</v>
      </c>
      <c r="F9" s="22"/>
      <c r="G9" s="22"/>
      <c r="H9" s="22"/>
      <c r="I9" s="22"/>
      <c r="J9" s="22"/>
      <c r="K9" s="22"/>
      <c r="L9" s="23"/>
      <c r="M9" s="22"/>
      <c r="N9" s="22"/>
      <c r="O9" s="22"/>
      <c r="P9" s="24" t="s">
        <v>7</v>
      </c>
    </row>
    <row r="10" customFormat="false" ht="30" hidden="false" customHeight="true" outlineLevel="0" collapsed="false">
      <c r="A10" s="19" t="s">
        <v>19</v>
      </c>
      <c r="B10" s="20" t="s">
        <v>20</v>
      </c>
      <c r="C10" s="19" t="s">
        <v>3</v>
      </c>
      <c r="D10" s="21" t="n">
        <v>46321</v>
      </c>
      <c r="E10" s="21" t="n">
        <v>46332</v>
      </c>
      <c r="F10" s="22"/>
      <c r="G10" s="22"/>
      <c r="H10" s="22"/>
      <c r="I10" s="22"/>
      <c r="J10" s="22"/>
      <c r="K10" s="22"/>
      <c r="L10" s="23"/>
      <c r="M10" s="22"/>
      <c r="N10" s="22"/>
      <c r="O10" s="22"/>
      <c r="P10" s="24" t="s">
        <v>21</v>
      </c>
    </row>
    <row r="11" customFormat="false" ht="30" hidden="false" customHeight="true" outlineLevel="0" collapsed="false">
      <c r="A11" s="19" t="s">
        <v>22</v>
      </c>
      <c r="B11" s="20" t="s">
        <v>23</v>
      </c>
      <c r="C11" s="19" t="s">
        <v>3</v>
      </c>
      <c r="D11" s="21" t="n">
        <v>46321</v>
      </c>
      <c r="E11" s="21" t="n">
        <v>46339</v>
      </c>
      <c r="F11" s="22"/>
      <c r="G11" s="22"/>
      <c r="H11" s="22"/>
      <c r="I11" s="22"/>
      <c r="J11" s="22"/>
      <c r="K11" s="22"/>
      <c r="L11" s="23"/>
      <c r="M11" s="22"/>
      <c r="N11" s="22"/>
      <c r="O11" s="22"/>
      <c r="P11" s="24" t="s">
        <v>24</v>
      </c>
    </row>
    <row r="12" customFormat="false" ht="18" hidden="false" customHeight="true" outlineLevel="0" collapsed="false">
      <c r="A12" s="19" t="s">
        <v>25</v>
      </c>
      <c r="B12" s="20" t="s">
        <v>26</v>
      </c>
      <c r="C12" s="19" t="s">
        <v>5</v>
      </c>
      <c r="D12" s="21" t="n">
        <v>46321</v>
      </c>
      <c r="E12" s="21" t="n">
        <v>46339</v>
      </c>
      <c r="F12" s="22"/>
      <c r="G12" s="22"/>
      <c r="H12" s="22"/>
      <c r="I12" s="22"/>
      <c r="J12" s="22"/>
      <c r="K12" s="22"/>
      <c r="L12" s="23"/>
      <c r="M12" s="22"/>
      <c r="N12" s="22"/>
      <c r="O12" s="22"/>
      <c r="P12" s="24" t="s">
        <v>27</v>
      </c>
    </row>
    <row r="13" customFormat="false" ht="18" hidden="false" customHeight="true" outlineLevel="0" collapsed="false">
      <c r="A13" s="25" t="s">
        <v>28</v>
      </c>
      <c r="B13" s="26" t="s">
        <v>29</v>
      </c>
      <c r="C13" s="25" t="s">
        <v>3</v>
      </c>
      <c r="D13" s="27" t="n">
        <v>46339</v>
      </c>
      <c r="E13" s="27" t="n">
        <v>46339</v>
      </c>
      <c r="F13" s="28" t="str">
        <f aca="false">IF(AND($D13&gt;=F$7,$D13&lt;=F$7+6),"◆ "&amp;TEXT(DAY($D13),"00")&amp;"."&amp;TEXT(MONTH($D13),"00"),"")</f>
        <v/>
      </c>
      <c r="G13" s="28" t="str">
        <f aca="false">IF(AND($D13&gt;=G$7,$D13&lt;=G$7+6),"◆ "&amp;TEXT(DAY($D13),"00")&amp;"."&amp;TEXT(MONTH($D13),"00"),"")</f>
        <v/>
      </c>
      <c r="H13" s="28" t="str">
        <f aca="false">IF(AND($D13&gt;=H$7,$D13&lt;=H$7+6),"◆ "&amp;TEXT(DAY($D13),"00")&amp;"."&amp;TEXT(MONTH($D13),"00"),"")</f>
        <v/>
      </c>
      <c r="I13" s="28" t="str">
        <f aca="false">IF(AND($D13&gt;=I$7,$D13&lt;=I$7+6),"◆ "&amp;TEXT(DAY($D13),"00")&amp;"."&amp;TEXT(MONTH($D13),"00"),"")</f>
        <v>◆ 13.11</v>
      </c>
      <c r="J13" s="28" t="str">
        <f aca="false">IF(AND($D13&gt;=J$7,$D13&lt;=J$7+6),"◆ "&amp;TEXT(DAY($D13),"00")&amp;"."&amp;TEXT(MONTH($D13),"00"),"")</f>
        <v/>
      </c>
      <c r="K13" s="28" t="str">
        <f aca="false">IF(AND($D13&gt;=K$7,$D13&lt;=K$7+6),"◆ "&amp;TEXT(DAY($D13),"00")&amp;"."&amp;TEXT(MONTH($D13),"00"),"")</f>
        <v/>
      </c>
      <c r="L13" s="29" t="str">
        <f aca="false">IF(AND($D13&gt;=L$7,$D13&lt;=L$7+6),"◆ "&amp;TEXT(DAY($D13),"00")&amp;"."&amp;TEXT(MONTH($D13),"00"),"")</f>
        <v/>
      </c>
      <c r="M13" s="28" t="str">
        <f aca="false">IF(AND($D13&gt;=M$7,$D13&lt;=M$7+6),"◆ "&amp;TEXT(DAY($D13),"00")&amp;"."&amp;TEXT(MONTH($D13),"00"),"")</f>
        <v/>
      </c>
      <c r="N13" s="28" t="str">
        <f aca="false">IF(AND($D13&gt;=N$7,$D13&lt;=N$7+6),"◆ "&amp;TEXT(DAY($D13),"00")&amp;"."&amp;TEXT(MONTH($D13),"00"),"")</f>
        <v/>
      </c>
      <c r="O13" s="28" t="str">
        <f aca="false">IF(AND($D13&gt;=O$7,$D13&lt;=O$7+6),"◆ "&amp;TEXT(DAY($D13),"00")&amp;"."&amp;TEXT(MONTH($D13),"00"),"")</f>
        <v/>
      </c>
      <c r="P13" s="30" t="s">
        <v>30</v>
      </c>
    </row>
    <row r="14" customFormat="false" ht="18" hidden="false" customHeight="true" outlineLevel="0" collapsed="false">
      <c r="A14" s="19" t="s">
        <v>31</v>
      </c>
      <c r="B14" s="20" t="s">
        <v>32</v>
      </c>
      <c r="C14" s="19" t="s">
        <v>4</v>
      </c>
      <c r="D14" s="21" t="n">
        <v>46342</v>
      </c>
      <c r="E14" s="21" t="n">
        <v>46353</v>
      </c>
      <c r="F14" s="22"/>
      <c r="G14" s="22"/>
      <c r="H14" s="22"/>
      <c r="I14" s="22"/>
      <c r="J14" s="22"/>
      <c r="K14" s="22"/>
      <c r="L14" s="23"/>
      <c r="M14" s="22"/>
      <c r="N14" s="22"/>
      <c r="O14" s="22"/>
      <c r="P14" s="24" t="s">
        <v>33</v>
      </c>
    </row>
    <row r="15" customFormat="false" ht="30" hidden="false" customHeight="true" outlineLevel="0" collapsed="false">
      <c r="A15" s="19" t="s">
        <v>34</v>
      </c>
      <c r="B15" s="20" t="s">
        <v>35</v>
      </c>
      <c r="C15" s="19" t="s">
        <v>3</v>
      </c>
      <c r="D15" s="21" t="n">
        <v>46342</v>
      </c>
      <c r="E15" s="21" t="n">
        <v>46353</v>
      </c>
      <c r="F15" s="22"/>
      <c r="G15" s="22"/>
      <c r="H15" s="22"/>
      <c r="I15" s="22"/>
      <c r="J15" s="22"/>
      <c r="K15" s="22"/>
      <c r="L15" s="23"/>
      <c r="M15" s="22"/>
      <c r="N15" s="22"/>
      <c r="O15" s="22"/>
      <c r="P15" s="24"/>
    </row>
    <row r="16" customFormat="false" ht="18" hidden="false" customHeight="true" outlineLevel="0" collapsed="false">
      <c r="A16" s="19" t="s">
        <v>36</v>
      </c>
      <c r="B16" s="20" t="s">
        <v>37</v>
      </c>
      <c r="C16" s="19" t="s">
        <v>5</v>
      </c>
      <c r="D16" s="21" t="n">
        <v>46349</v>
      </c>
      <c r="E16" s="21" t="n">
        <v>46356</v>
      </c>
      <c r="F16" s="22"/>
      <c r="G16" s="22"/>
      <c r="H16" s="22"/>
      <c r="I16" s="22"/>
      <c r="J16" s="22"/>
      <c r="K16" s="22"/>
      <c r="L16" s="23"/>
      <c r="M16" s="22"/>
      <c r="N16" s="22"/>
      <c r="O16" s="22"/>
      <c r="P16" s="24"/>
    </row>
    <row r="17" customFormat="false" ht="18" hidden="false" customHeight="true" outlineLevel="0" collapsed="false">
      <c r="A17" s="25" t="s">
        <v>38</v>
      </c>
      <c r="B17" s="26" t="s">
        <v>39</v>
      </c>
      <c r="C17" s="25" t="s">
        <v>5</v>
      </c>
      <c r="D17" s="27" t="n">
        <v>46357</v>
      </c>
      <c r="E17" s="27" t="n">
        <v>46357</v>
      </c>
      <c r="F17" s="28" t="str">
        <f aca="false">IF(AND($D17&gt;=F$7,$D17&lt;=F$7+6),"◆ "&amp;TEXT(DAY($D17),"00")&amp;"."&amp;TEXT(MONTH($D17),"00"),"")</f>
        <v/>
      </c>
      <c r="G17" s="28" t="str">
        <f aca="false">IF(AND($D17&gt;=G$7,$D17&lt;=G$7+6),"◆ "&amp;TEXT(DAY($D17),"00")&amp;"."&amp;TEXT(MONTH($D17),"00"),"")</f>
        <v/>
      </c>
      <c r="H17" s="28" t="str">
        <f aca="false">IF(AND($D17&gt;=H$7,$D17&lt;=H$7+6),"◆ "&amp;TEXT(DAY($D17),"00")&amp;"."&amp;TEXT(MONTH($D17),"00"),"")</f>
        <v/>
      </c>
      <c r="I17" s="28" t="str">
        <f aca="false">IF(AND($D17&gt;=I$7,$D17&lt;=I$7+6),"◆ "&amp;TEXT(DAY($D17),"00")&amp;"."&amp;TEXT(MONTH($D17),"00"),"")</f>
        <v/>
      </c>
      <c r="J17" s="28" t="str">
        <f aca="false">IF(AND($D17&gt;=J$7,$D17&lt;=J$7+6),"◆ "&amp;TEXT(DAY($D17),"00")&amp;"."&amp;TEXT(MONTH($D17),"00"),"")</f>
        <v/>
      </c>
      <c r="K17" s="28" t="str">
        <f aca="false">IF(AND($D17&gt;=K$7,$D17&lt;=K$7+6),"◆ "&amp;TEXT(DAY($D17),"00")&amp;"."&amp;TEXT(MONTH($D17),"00"),"")</f>
        <v/>
      </c>
      <c r="L17" s="29" t="str">
        <f aca="false">IF(AND($D17&gt;=L$7,$D17&lt;=L$7+6),"◆ "&amp;TEXT(DAY($D17),"00")&amp;"."&amp;TEXT(MONTH($D17),"00"),"")</f>
        <v>◆ 01.12</v>
      </c>
      <c r="M17" s="28" t="str">
        <f aca="false">IF(AND($D17&gt;=M$7,$D17&lt;=M$7+6),"◆ "&amp;TEXT(DAY($D17),"00")&amp;"."&amp;TEXT(MONTH($D17),"00"),"")</f>
        <v/>
      </c>
      <c r="N17" s="28" t="str">
        <f aca="false">IF(AND($D17&gt;=N$7,$D17&lt;=N$7+6),"◆ "&amp;TEXT(DAY($D17),"00")&amp;"."&amp;TEXT(MONTH($D17),"00"),"")</f>
        <v/>
      </c>
      <c r="O17" s="28" t="str">
        <f aca="false">IF(AND($D17&gt;=O$7,$D17&lt;=O$7+6),"◆ "&amp;TEXT(DAY($D17),"00")&amp;"."&amp;TEXT(MONTH($D17),"00"),"")</f>
        <v/>
      </c>
      <c r="P17" s="30"/>
    </row>
    <row r="18" customFormat="false" ht="18" hidden="false" customHeight="true" outlineLevel="0" collapsed="false">
      <c r="A18" s="19" t="s">
        <v>40</v>
      </c>
      <c r="B18" s="20" t="s">
        <v>41</v>
      </c>
      <c r="C18" s="19" t="s">
        <v>3</v>
      </c>
      <c r="D18" s="21" t="n">
        <v>46357</v>
      </c>
      <c r="E18" s="21" t="n">
        <v>46402</v>
      </c>
      <c r="F18" s="22"/>
      <c r="G18" s="22"/>
      <c r="H18" s="22"/>
      <c r="I18" s="22"/>
      <c r="J18" s="22"/>
      <c r="K18" s="22"/>
      <c r="L18" s="23"/>
      <c r="M18" s="22"/>
      <c r="N18" s="22"/>
      <c r="O18" s="22"/>
      <c r="P18" s="24" t="s">
        <v>42</v>
      </c>
    </row>
    <row r="19" customFormat="false" ht="19.5" hidden="false" customHeight="true" outlineLevel="0" collapsed="false">
      <c r="A19" s="14"/>
      <c r="B19" s="15" t="s">
        <v>43</v>
      </c>
      <c r="C19" s="14"/>
      <c r="D19" s="16"/>
      <c r="E19" s="16"/>
      <c r="F19" s="17"/>
      <c r="G19" s="17"/>
      <c r="H19" s="17"/>
      <c r="I19" s="17"/>
      <c r="J19" s="17"/>
      <c r="K19" s="17"/>
      <c r="L19" s="18"/>
      <c r="M19" s="17"/>
      <c r="N19" s="17"/>
      <c r="O19" s="17"/>
      <c r="P19" s="15"/>
    </row>
    <row r="20" customFormat="false" ht="18.75" hidden="false" customHeight="true" outlineLevel="0" collapsed="false">
      <c r="A20" s="31" t="s">
        <v>44</v>
      </c>
      <c r="B20" s="32" t="s">
        <v>45</v>
      </c>
      <c r="C20" s="31"/>
      <c r="D20" s="33" t="n">
        <f aca="false">MIN(D21:D24)</f>
        <v>46314</v>
      </c>
      <c r="E20" s="33" t="n">
        <f aca="false">MAX(E21:E24)</f>
        <v>46353</v>
      </c>
      <c r="F20" s="22"/>
      <c r="G20" s="22"/>
      <c r="H20" s="22"/>
      <c r="I20" s="22"/>
      <c r="J20" s="22"/>
      <c r="K20" s="22"/>
      <c r="L20" s="23"/>
      <c r="M20" s="22"/>
      <c r="N20" s="22"/>
      <c r="O20" s="22"/>
      <c r="P20" s="32"/>
    </row>
    <row r="21" customFormat="false" ht="18" hidden="false" customHeight="true" outlineLevel="0" collapsed="false">
      <c r="A21" s="19" t="s">
        <v>46</v>
      </c>
      <c r="B21" s="20" t="s">
        <v>47</v>
      </c>
      <c r="C21" s="19" t="s">
        <v>3</v>
      </c>
      <c r="D21" s="21" t="n">
        <v>46314</v>
      </c>
      <c r="E21" s="21" t="n">
        <v>46325</v>
      </c>
      <c r="F21" s="22"/>
      <c r="G21" s="22"/>
      <c r="H21" s="22"/>
      <c r="I21" s="22"/>
      <c r="J21" s="22"/>
      <c r="K21" s="22"/>
      <c r="L21" s="23"/>
      <c r="M21" s="22"/>
      <c r="N21" s="22"/>
      <c r="O21" s="22"/>
      <c r="P21" s="24"/>
    </row>
    <row r="22" customFormat="false" ht="18" hidden="false" customHeight="true" outlineLevel="0" collapsed="false">
      <c r="A22" s="19" t="s">
        <v>48</v>
      </c>
      <c r="B22" s="20" t="s">
        <v>49</v>
      </c>
      <c r="C22" s="19" t="s">
        <v>3</v>
      </c>
      <c r="D22" s="21" t="n">
        <v>46321</v>
      </c>
      <c r="E22" s="21" t="n">
        <v>46332</v>
      </c>
      <c r="F22" s="22"/>
      <c r="G22" s="22"/>
      <c r="H22" s="22"/>
      <c r="I22" s="22"/>
      <c r="J22" s="22"/>
      <c r="K22" s="22"/>
      <c r="L22" s="23"/>
      <c r="M22" s="22"/>
      <c r="N22" s="22"/>
      <c r="O22" s="22"/>
      <c r="P22" s="24"/>
    </row>
    <row r="23" customFormat="false" ht="18" hidden="false" customHeight="true" outlineLevel="0" collapsed="false">
      <c r="A23" s="19" t="s">
        <v>50</v>
      </c>
      <c r="B23" s="20" t="s">
        <v>51</v>
      </c>
      <c r="C23" s="19" t="s">
        <v>3</v>
      </c>
      <c r="D23" s="21" t="n">
        <v>46335</v>
      </c>
      <c r="E23" s="21" t="n">
        <v>46353</v>
      </c>
      <c r="F23" s="22"/>
      <c r="G23" s="22"/>
      <c r="H23" s="22"/>
      <c r="I23" s="22"/>
      <c r="J23" s="22"/>
      <c r="K23" s="22"/>
      <c r="L23" s="23"/>
      <c r="M23" s="22"/>
      <c r="N23" s="22"/>
      <c r="O23" s="22"/>
      <c r="P23" s="24"/>
    </row>
    <row r="24" customFormat="false" ht="18" hidden="false" customHeight="true" outlineLevel="0" collapsed="false">
      <c r="A24" s="19" t="s">
        <v>52</v>
      </c>
      <c r="B24" s="20" t="s">
        <v>53</v>
      </c>
      <c r="C24" s="19" t="s">
        <v>3</v>
      </c>
      <c r="D24" s="21" t="n">
        <v>46328</v>
      </c>
      <c r="E24" s="21" t="n">
        <v>46339</v>
      </c>
      <c r="F24" s="22"/>
      <c r="G24" s="22"/>
      <c r="H24" s="22"/>
      <c r="I24" s="22"/>
      <c r="J24" s="22"/>
      <c r="K24" s="22"/>
      <c r="L24" s="23"/>
      <c r="M24" s="22"/>
      <c r="N24" s="22"/>
      <c r="O24" s="22"/>
      <c r="P24" s="24"/>
    </row>
    <row r="25" customFormat="false" ht="18.75" hidden="false" customHeight="true" outlineLevel="0" collapsed="false">
      <c r="A25" s="31" t="s">
        <v>54</v>
      </c>
      <c r="B25" s="32" t="s">
        <v>55</v>
      </c>
      <c r="C25" s="31"/>
      <c r="D25" s="33" t="n">
        <f aca="false">MIN(D26:D29)</f>
        <v>46314</v>
      </c>
      <c r="E25" s="33" t="n">
        <f aca="false">MAX(E26:E29)</f>
        <v>46346</v>
      </c>
      <c r="F25" s="22"/>
      <c r="G25" s="22"/>
      <c r="H25" s="22"/>
      <c r="I25" s="22"/>
      <c r="J25" s="22"/>
      <c r="K25" s="22"/>
      <c r="L25" s="23"/>
      <c r="M25" s="22"/>
      <c r="N25" s="22"/>
      <c r="O25" s="22"/>
      <c r="P25" s="32"/>
    </row>
    <row r="26" customFormat="false" ht="18" hidden="false" customHeight="true" outlineLevel="0" collapsed="false">
      <c r="A26" s="19" t="s">
        <v>56</v>
      </c>
      <c r="B26" s="20" t="s">
        <v>57</v>
      </c>
      <c r="C26" s="19" t="s">
        <v>3</v>
      </c>
      <c r="D26" s="21" t="n">
        <v>46314</v>
      </c>
      <c r="E26" s="21" t="n">
        <v>46325</v>
      </c>
      <c r="F26" s="22"/>
      <c r="G26" s="22"/>
      <c r="H26" s="22"/>
      <c r="I26" s="22"/>
      <c r="J26" s="22"/>
      <c r="K26" s="22"/>
      <c r="L26" s="23"/>
      <c r="M26" s="22"/>
      <c r="N26" s="22"/>
      <c r="O26" s="22"/>
      <c r="P26" s="24"/>
    </row>
    <row r="27" customFormat="false" ht="18" hidden="false" customHeight="true" outlineLevel="0" collapsed="false">
      <c r="A27" s="19" t="s">
        <v>58</v>
      </c>
      <c r="B27" s="20" t="s">
        <v>59</v>
      </c>
      <c r="C27" s="19" t="s">
        <v>3</v>
      </c>
      <c r="D27" s="21" t="n">
        <v>46321</v>
      </c>
      <c r="E27" s="21" t="n">
        <v>46332</v>
      </c>
      <c r="F27" s="22"/>
      <c r="G27" s="22"/>
      <c r="H27" s="22"/>
      <c r="I27" s="22"/>
      <c r="J27" s="22"/>
      <c r="K27" s="22"/>
      <c r="L27" s="23"/>
      <c r="M27" s="22"/>
      <c r="N27" s="22"/>
      <c r="O27" s="22"/>
      <c r="P27" s="24"/>
    </row>
    <row r="28" customFormat="false" ht="18" hidden="false" customHeight="true" outlineLevel="0" collapsed="false">
      <c r="A28" s="19" t="s">
        <v>60</v>
      </c>
      <c r="B28" s="20" t="s">
        <v>61</v>
      </c>
      <c r="C28" s="19" t="s">
        <v>3</v>
      </c>
      <c r="D28" s="21" t="n">
        <v>46342</v>
      </c>
      <c r="E28" s="21" t="n">
        <v>46346</v>
      </c>
      <c r="F28" s="22"/>
      <c r="G28" s="22"/>
      <c r="H28" s="22"/>
      <c r="I28" s="22"/>
      <c r="J28" s="22"/>
      <c r="K28" s="22"/>
      <c r="L28" s="23"/>
      <c r="M28" s="22"/>
      <c r="N28" s="22"/>
      <c r="O28" s="22"/>
      <c r="P28" s="24"/>
    </row>
    <row r="29" customFormat="false" ht="18" hidden="false" customHeight="true" outlineLevel="0" collapsed="false">
      <c r="A29" s="19" t="s">
        <v>62</v>
      </c>
      <c r="B29" s="20" t="s">
        <v>63</v>
      </c>
      <c r="C29" s="19" t="s">
        <v>3</v>
      </c>
      <c r="D29" s="21" t="n">
        <v>46321</v>
      </c>
      <c r="E29" s="21" t="n">
        <v>46339</v>
      </c>
      <c r="F29" s="22"/>
      <c r="G29" s="22"/>
      <c r="H29" s="22"/>
      <c r="I29" s="22"/>
      <c r="J29" s="22"/>
      <c r="K29" s="22"/>
      <c r="L29" s="23"/>
      <c r="M29" s="22"/>
      <c r="N29" s="22"/>
      <c r="O29" s="22"/>
      <c r="P29" s="24" t="s">
        <v>64</v>
      </c>
    </row>
    <row r="30" customFormat="false" ht="18.75" hidden="false" customHeight="true" outlineLevel="0" collapsed="false">
      <c r="A30" s="31" t="s">
        <v>65</v>
      </c>
      <c r="B30" s="32" t="s">
        <v>66</v>
      </c>
      <c r="C30" s="31"/>
      <c r="D30" s="33" t="n">
        <f aca="false">MIN(D31:D34)</f>
        <v>46314</v>
      </c>
      <c r="E30" s="33" t="n">
        <f aca="false">MAX(E31:E34)</f>
        <v>46346</v>
      </c>
      <c r="F30" s="22"/>
      <c r="G30" s="22"/>
      <c r="H30" s="22"/>
      <c r="I30" s="22"/>
      <c r="J30" s="22"/>
      <c r="K30" s="22"/>
      <c r="L30" s="23"/>
      <c r="M30" s="22"/>
      <c r="N30" s="22"/>
      <c r="O30" s="22"/>
      <c r="P30" s="32"/>
    </row>
    <row r="31" customFormat="false" ht="18" hidden="false" customHeight="true" outlineLevel="0" collapsed="false">
      <c r="A31" s="19" t="s">
        <v>67</v>
      </c>
      <c r="B31" s="20" t="s">
        <v>68</v>
      </c>
      <c r="C31" s="19" t="s">
        <v>3</v>
      </c>
      <c r="D31" s="21" t="n">
        <v>46314</v>
      </c>
      <c r="E31" s="21" t="n">
        <v>46325</v>
      </c>
      <c r="F31" s="22"/>
      <c r="G31" s="22"/>
      <c r="H31" s="22"/>
      <c r="I31" s="22"/>
      <c r="J31" s="22"/>
      <c r="K31" s="22"/>
      <c r="L31" s="23"/>
      <c r="M31" s="22"/>
      <c r="N31" s="22"/>
      <c r="O31" s="22"/>
      <c r="P31" s="24" t="s">
        <v>69</v>
      </c>
    </row>
    <row r="32" customFormat="false" ht="18" hidden="false" customHeight="true" outlineLevel="0" collapsed="false">
      <c r="A32" s="19" t="s">
        <v>70</v>
      </c>
      <c r="B32" s="20" t="s">
        <v>71</v>
      </c>
      <c r="C32" s="19" t="s">
        <v>3</v>
      </c>
      <c r="D32" s="21" t="n">
        <v>46321</v>
      </c>
      <c r="E32" s="21" t="n">
        <v>46332</v>
      </c>
      <c r="F32" s="22"/>
      <c r="G32" s="22"/>
      <c r="H32" s="22"/>
      <c r="I32" s="22"/>
      <c r="J32" s="22"/>
      <c r="K32" s="22"/>
      <c r="L32" s="23"/>
      <c r="M32" s="22"/>
      <c r="N32" s="22"/>
      <c r="O32" s="22"/>
      <c r="P32" s="24"/>
    </row>
    <row r="33" customFormat="false" ht="18" hidden="false" customHeight="true" outlineLevel="0" collapsed="false">
      <c r="A33" s="19" t="s">
        <v>72</v>
      </c>
      <c r="B33" s="20" t="s">
        <v>73</v>
      </c>
      <c r="C33" s="19" t="s">
        <v>3</v>
      </c>
      <c r="D33" s="21" t="n">
        <v>46342</v>
      </c>
      <c r="E33" s="21" t="n">
        <v>46346</v>
      </c>
      <c r="F33" s="22"/>
      <c r="G33" s="22"/>
      <c r="H33" s="22"/>
      <c r="I33" s="22"/>
      <c r="J33" s="22"/>
      <c r="K33" s="22"/>
      <c r="L33" s="23"/>
      <c r="M33" s="22"/>
      <c r="N33" s="22"/>
      <c r="O33" s="22"/>
      <c r="P33" s="24"/>
    </row>
    <row r="34" customFormat="false" ht="18" hidden="false" customHeight="true" outlineLevel="0" collapsed="false">
      <c r="A34" s="19" t="s">
        <v>74</v>
      </c>
      <c r="B34" s="20" t="s">
        <v>75</v>
      </c>
      <c r="C34" s="19" t="s">
        <v>3</v>
      </c>
      <c r="D34" s="21" t="n">
        <v>46328</v>
      </c>
      <c r="E34" s="21" t="n">
        <v>46339</v>
      </c>
      <c r="F34" s="22"/>
      <c r="G34" s="22"/>
      <c r="H34" s="22"/>
      <c r="I34" s="22"/>
      <c r="J34" s="22"/>
      <c r="K34" s="22"/>
      <c r="L34" s="23"/>
      <c r="M34" s="22"/>
      <c r="N34" s="22"/>
      <c r="O34" s="22"/>
      <c r="P34" s="24"/>
    </row>
    <row r="35" customFormat="false" ht="18.75" hidden="false" customHeight="true" outlineLevel="0" collapsed="false">
      <c r="A35" s="31" t="s">
        <v>76</v>
      </c>
      <c r="B35" s="32" t="s">
        <v>77</v>
      </c>
      <c r="C35" s="31"/>
      <c r="D35" s="33" t="n">
        <f aca="false">MIN(D36:D39)</f>
        <v>46314</v>
      </c>
      <c r="E35" s="33" t="n">
        <f aca="false">MAX(E36:E39)</f>
        <v>46353</v>
      </c>
      <c r="F35" s="22"/>
      <c r="G35" s="22"/>
      <c r="H35" s="22"/>
      <c r="I35" s="22"/>
      <c r="J35" s="22"/>
      <c r="K35" s="22"/>
      <c r="L35" s="23"/>
      <c r="M35" s="22"/>
      <c r="N35" s="22"/>
      <c r="O35" s="22"/>
      <c r="P35" s="32"/>
    </row>
    <row r="36" customFormat="false" ht="30" hidden="false" customHeight="true" outlineLevel="0" collapsed="false">
      <c r="A36" s="19" t="s">
        <v>78</v>
      </c>
      <c r="B36" s="20" t="s">
        <v>79</v>
      </c>
      <c r="C36" s="19" t="s">
        <v>5</v>
      </c>
      <c r="D36" s="21" t="n">
        <v>46314</v>
      </c>
      <c r="E36" s="21" t="n">
        <v>46332</v>
      </c>
      <c r="F36" s="22"/>
      <c r="G36" s="22"/>
      <c r="H36" s="22"/>
      <c r="I36" s="22"/>
      <c r="J36" s="22"/>
      <c r="K36" s="22"/>
      <c r="L36" s="23"/>
      <c r="M36" s="22"/>
      <c r="N36" s="22"/>
      <c r="O36" s="22"/>
      <c r="P36" s="24" t="s">
        <v>80</v>
      </c>
    </row>
    <row r="37" customFormat="false" ht="18" hidden="false" customHeight="true" outlineLevel="0" collapsed="false">
      <c r="A37" s="19" t="s">
        <v>81</v>
      </c>
      <c r="B37" s="20" t="s">
        <v>82</v>
      </c>
      <c r="C37" s="19" t="s">
        <v>3</v>
      </c>
      <c r="D37" s="21" t="n">
        <v>46328</v>
      </c>
      <c r="E37" s="21" t="n">
        <v>46332</v>
      </c>
      <c r="F37" s="22"/>
      <c r="G37" s="22"/>
      <c r="H37" s="22"/>
      <c r="I37" s="22"/>
      <c r="J37" s="22"/>
      <c r="K37" s="22"/>
      <c r="L37" s="23"/>
      <c r="M37" s="22"/>
      <c r="N37" s="22"/>
      <c r="O37" s="22"/>
      <c r="P37" s="24"/>
    </row>
    <row r="38" customFormat="false" ht="18" hidden="false" customHeight="true" outlineLevel="0" collapsed="false">
      <c r="A38" s="19" t="s">
        <v>83</v>
      </c>
      <c r="B38" s="20" t="s">
        <v>84</v>
      </c>
      <c r="C38" s="19" t="s">
        <v>3</v>
      </c>
      <c r="D38" s="21" t="n">
        <v>46342</v>
      </c>
      <c r="E38" s="21" t="n">
        <v>46353</v>
      </c>
      <c r="F38" s="22"/>
      <c r="G38" s="22"/>
      <c r="H38" s="22"/>
      <c r="I38" s="22"/>
      <c r="J38" s="22"/>
      <c r="K38" s="22"/>
      <c r="L38" s="23"/>
      <c r="M38" s="22"/>
      <c r="N38" s="22"/>
      <c r="O38" s="22"/>
      <c r="P38" s="24"/>
    </row>
    <row r="39" customFormat="false" ht="18" hidden="false" customHeight="true" outlineLevel="0" collapsed="false">
      <c r="A39" s="19" t="s">
        <v>85</v>
      </c>
      <c r="B39" s="20" t="s">
        <v>53</v>
      </c>
      <c r="C39" s="19" t="s">
        <v>3</v>
      </c>
      <c r="D39" s="21" t="n">
        <v>46335</v>
      </c>
      <c r="E39" s="21" t="n">
        <v>46339</v>
      </c>
      <c r="F39" s="22"/>
      <c r="G39" s="22"/>
      <c r="H39" s="22"/>
      <c r="I39" s="22"/>
      <c r="J39" s="22"/>
      <c r="K39" s="22"/>
      <c r="L39" s="23"/>
      <c r="M39" s="22"/>
      <c r="N39" s="22"/>
      <c r="O39" s="22"/>
      <c r="P39" s="24"/>
    </row>
    <row r="40" customFormat="false" ht="18.75" hidden="false" customHeight="true" outlineLevel="0" collapsed="false">
      <c r="A40" s="31" t="s">
        <v>86</v>
      </c>
      <c r="B40" s="32" t="s">
        <v>87</v>
      </c>
      <c r="C40" s="31"/>
      <c r="D40" s="33" t="n">
        <f aca="false">MIN(D41:D45)</f>
        <v>46314</v>
      </c>
      <c r="E40" s="33" t="n">
        <f aca="false">MAX(E41:E45)</f>
        <v>46380</v>
      </c>
      <c r="F40" s="22"/>
      <c r="G40" s="22"/>
      <c r="H40" s="22"/>
      <c r="I40" s="22"/>
      <c r="J40" s="22"/>
      <c r="K40" s="22"/>
      <c r="L40" s="23"/>
      <c r="M40" s="22"/>
      <c r="N40" s="22"/>
      <c r="O40" s="22"/>
      <c r="P40" s="32"/>
    </row>
    <row r="41" customFormat="false" ht="18" hidden="false" customHeight="true" outlineLevel="0" collapsed="false">
      <c r="A41" s="19" t="s">
        <v>88</v>
      </c>
      <c r="B41" s="20" t="s">
        <v>89</v>
      </c>
      <c r="C41" s="19" t="s">
        <v>3</v>
      </c>
      <c r="D41" s="21" t="n">
        <v>46314</v>
      </c>
      <c r="E41" s="21" t="n">
        <v>46325</v>
      </c>
      <c r="F41" s="22"/>
      <c r="G41" s="22"/>
      <c r="H41" s="22"/>
      <c r="I41" s="22"/>
      <c r="J41" s="22"/>
      <c r="K41" s="22"/>
      <c r="L41" s="23"/>
      <c r="M41" s="22"/>
      <c r="N41" s="22"/>
      <c r="O41" s="22"/>
      <c r="P41" s="24"/>
    </row>
    <row r="42" customFormat="false" ht="18" hidden="false" customHeight="true" outlineLevel="0" collapsed="false">
      <c r="A42" s="19" t="s">
        <v>90</v>
      </c>
      <c r="B42" s="20" t="s">
        <v>91</v>
      </c>
      <c r="C42" s="19" t="s">
        <v>3</v>
      </c>
      <c r="D42" s="21" t="n">
        <v>46328</v>
      </c>
      <c r="E42" s="21" t="n">
        <v>46332</v>
      </c>
      <c r="F42" s="22"/>
      <c r="G42" s="22"/>
      <c r="H42" s="22"/>
      <c r="I42" s="22"/>
      <c r="J42" s="22"/>
      <c r="K42" s="22"/>
      <c r="L42" s="23"/>
      <c r="M42" s="22"/>
      <c r="N42" s="22"/>
      <c r="O42" s="22"/>
      <c r="P42" s="24"/>
    </row>
    <row r="43" customFormat="false" ht="18" hidden="false" customHeight="true" outlineLevel="0" collapsed="false">
      <c r="A43" s="19" t="s">
        <v>92</v>
      </c>
      <c r="B43" s="20" t="s">
        <v>93</v>
      </c>
      <c r="C43" s="19" t="s">
        <v>3</v>
      </c>
      <c r="D43" s="21" t="n">
        <v>46335</v>
      </c>
      <c r="E43" s="21" t="n">
        <v>46353</v>
      </c>
      <c r="F43" s="22"/>
      <c r="G43" s="22"/>
      <c r="H43" s="22"/>
      <c r="I43" s="22"/>
      <c r="J43" s="22"/>
      <c r="K43" s="22"/>
      <c r="L43" s="23"/>
      <c r="M43" s="22"/>
      <c r="N43" s="22"/>
      <c r="O43" s="22"/>
      <c r="P43" s="24"/>
    </row>
    <row r="44" customFormat="false" ht="18" hidden="false" customHeight="true" outlineLevel="0" collapsed="false">
      <c r="A44" s="19" t="s">
        <v>94</v>
      </c>
      <c r="B44" s="20" t="s">
        <v>95</v>
      </c>
      <c r="C44" s="19" t="s">
        <v>3</v>
      </c>
      <c r="D44" s="21" t="n">
        <v>46335</v>
      </c>
      <c r="E44" s="21" t="n">
        <v>46339</v>
      </c>
      <c r="F44" s="22"/>
      <c r="G44" s="22"/>
      <c r="H44" s="22"/>
      <c r="I44" s="22"/>
      <c r="J44" s="22"/>
      <c r="K44" s="22"/>
      <c r="L44" s="23"/>
      <c r="M44" s="22"/>
      <c r="N44" s="22"/>
      <c r="O44" s="22"/>
      <c r="P44" s="24"/>
    </row>
    <row r="45" customFormat="false" ht="30" hidden="false" customHeight="true" outlineLevel="0" collapsed="false">
      <c r="A45" s="19" t="s">
        <v>96</v>
      </c>
      <c r="B45" s="20" t="s">
        <v>97</v>
      </c>
      <c r="C45" s="19" t="s">
        <v>3</v>
      </c>
      <c r="D45" s="21" t="n">
        <v>46359</v>
      </c>
      <c r="E45" s="21" t="n">
        <v>46380</v>
      </c>
      <c r="F45" s="22"/>
      <c r="G45" s="22"/>
      <c r="H45" s="22"/>
      <c r="I45" s="22"/>
      <c r="J45" s="22"/>
      <c r="K45" s="22"/>
      <c r="L45" s="23"/>
      <c r="M45" s="22"/>
      <c r="N45" s="22"/>
      <c r="O45" s="22"/>
      <c r="P45" s="24" t="s">
        <v>98</v>
      </c>
    </row>
    <row r="46" customFormat="false" ht="18.75" hidden="false" customHeight="true" outlineLevel="0" collapsed="false">
      <c r="A46" s="31" t="s">
        <v>99</v>
      </c>
      <c r="B46" s="32" t="s">
        <v>100</v>
      </c>
      <c r="C46" s="31"/>
      <c r="D46" s="33" t="n">
        <f aca="false">MIN(D47:D50)</f>
        <v>46314</v>
      </c>
      <c r="E46" s="33" t="n">
        <f aca="false">MAX(E47:E50)</f>
        <v>46353</v>
      </c>
      <c r="F46" s="22"/>
      <c r="G46" s="22"/>
      <c r="H46" s="22"/>
      <c r="I46" s="22"/>
      <c r="J46" s="22"/>
      <c r="K46" s="22"/>
      <c r="L46" s="23"/>
      <c r="M46" s="22"/>
      <c r="N46" s="22"/>
      <c r="O46" s="22"/>
      <c r="P46" s="32"/>
    </row>
    <row r="47" customFormat="false" ht="18" hidden="false" customHeight="true" outlineLevel="0" collapsed="false">
      <c r="A47" s="19" t="s">
        <v>101</v>
      </c>
      <c r="B47" s="20" t="s">
        <v>102</v>
      </c>
      <c r="C47" s="19" t="s">
        <v>3</v>
      </c>
      <c r="D47" s="21" t="n">
        <v>46314</v>
      </c>
      <c r="E47" s="21" t="n">
        <v>46318</v>
      </c>
      <c r="F47" s="22"/>
      <c r="G47" s="22"/>
      <c r="H47" s="22"/>
      <c r="I47" s="22"/>
      <c r="J47" s="22"/>
      <c r="K47" s="22"/>
      <c r="L47" s="23"/>
      <c r="M47" s="22"/>
      <c r="N47" s="22"/>
      <c r="O47" s="22"/>
      <c r="P47" s="24"/>
    </row>
    <row r="48" customFormat="false" ht="18" hidden="false" customHeight="true" outlineLevel="0" collapsed="false">
      <c r="A48" s="19" t="s">
        <v>103</v>
      </c>
      <c r="B48" s="20" t="s">
        <v>104</v>
      </c>
      <c r="C48" s="19" t="s">
        <v>3</v>
      </c>
      <c r="D48" s="21" t="n">
        <v>46328</v>
      </c>
      <c r="E48" s="21" t="n">
        <v>46332</v>
      </c>
      <c r="F48" s="22"/>
      <c r="G48" s="22"/>
      <c r="H48" s="22"/>
      <c r="I48" s="22"/>
      <c r="J48" s="22"/>
      <c r="K48" s="22"/>
      <c r="L48" s="23"/>
      <c r="M48" s="22"/>
      <c r="N48" s="22"/>
      <c r="O48" s="22"/>
      <c r="P48" s="24"/>
    </row>
    <row r="49" customFormat="false" ht="18" hidden="false" customHeight="true" outlineLevel="0" collapsed="false">
      <c r="A49" s="19" t="s">
        <v>105</v>
      </c>
      <c r="B49" s="20" t="s">
        <v>106</v>
      </c>
      <c r="C49" s="19" t="s">
        <v>3</v>
      </c>
      <c r="D49" s="21" t="n">
        <v>46328</v>
      </c>
      <c r="E49" s="21" t="n">
        <v>46353</v>
      </c>
      <c r="F49" s="22"/>
      <c r="G49" s="22"/>
      <c r="H49" s="22"/>
      <c r="I49" s="22"/>
      <c r="J49" s="22"/>
      <c r="K49" s="22"/>
      <c r="L49" s="23"/>
      <c r="M49" s="22"/>
      <c r="N49" s="22"/>
      <c r="O49" s="22"/>
      <c r="P49" s="24" t="s">
        <v>107</v>
      </c>
    </row>
    <row r="50" customFormat="false" ht="18" hidden="false" customHeight="true" outlineLevel="0" collapsed="false">
      <c r="A50" s="19" t="s">
        <v>108</v>
      </c>
      <c r="B50" s="20" t="s">
        <v>109</v>
      </c>
      <c r="C50" s="19" t="s">
        <v>3</v>
      </c>
      <c r="D50" s="21" t="n">
        <v>46335</v>
      </c>
      <c r="E50" s="21" t="n">
        <v>46339</v>
      </c>
      <c r="F50" s="22"/>
      <c r="G50" s="22"/>
      <c r="H50" s="22"/>
      <c r="I50" s="22"/>
      <c r="J50" s="22"/>
      <c r="K50" s="22"/>
      <c r="L50" s="23"/>
      <c r="M50" s="22"/>
      <c r="N50" s="22"/>
      <c r="O50" s="22"/>
      <c r="P50" s="24"/>
    </row>
    <row r="52" customFormat="false" ht="15.75" hidden="false" customHeight="true" outlineLevel="0" collapsed="false">
      <c r="B52" s="34" t="s">
        <v>110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</row>
  </sheetData>
  <mergeCells count="9">
    <mergeCell ref="A5:A6"/>
    <mergeCell ref="B5:B6"/>
    <mergeCell ref="C5:C6"/>
    <mergeCell ref="D5:D6"/>
    <mergeCell ref="E5:E6"/>
    <mergeCell ref="F5:K5"/>
    <mergeCell ref="L5:O5"/>
    <mergeCell ref="P5:P6"/>
    <mergeCell ref="B52:O52"/>
  </mergeCells>
  <conditionalFormatting sqref="F8:O50">
    <cfRule type="expression" priority="2" aboveAverage="0" equalAverage="0" bottom="0" percent="0" rank="0" text="" dxfId="0">
      <formula>AND(LEFT($B8,1)="◆",$D8&gt;=F$7,$D8&lt;=F$7+6)</formula>
    </cfRule>
    <cfRule type="expression" priority="3" aboveAverage="0" equalAverage="0" bottom="0" percent="0" rank="0" text="" dxfId="1">
      <formula>AND($C8="",ISNUMBER($D8),$D8&lt;=F$7+6,$E8&gt;=F$7)</formula>
    </cfRule>
    <cfRule type="expression" priority="4" aboveAverage="0" equalAverage="0" bottom="0" percent="0" rank="0" text="" dxfId="2">
      <formula>AND($C8="Deep",ISNUMBER($D8),$D8&lt;=F$7+6,$E8&gt;=F$7)</formula>
    </cfRule>
    <cfRule type="expression" priority="5" aboveAverage="0" equalAverage="0" bottom="0" percent="0" rank="0" text="" dxfId="3">
      <formula>AND($C8="ПСБ",ISNUMBER($D8),$D8&lt;=F$7+6,$E8&gt;=F$7)</formula>
    </cfRule>
    <cfRule type="expression" priority="6" aboveAverage="0" equalAverage="0" bottom="0" percent="0" rank="0" text="" dxfId="4">
      <formula>AND($C8="Deep + ПСБ",ISNUMBER($D8),$D8&lt;=F$7+6,$E8&gt;=F$7)</formula>
    </cfRule>
    <cfRule type="expression" priority="7" aboveAverage="0" equalAverage="0" bottom="0" percent="0" rank="0" text="" dxfId="5">
      <formula>AND($A8&lt;&gt;"",TODAY()&gt;=F$7,TODAY()&lt;=F$7+6)</formula>
    </cfRule>
  </conditionalFormatting>
  <conditionalFormatting sqref="F6:O6">
    <cfRule type="expression" priority="8" aboveAverage="0" equalAverage="0" bottom="0" percent="0" rank="0" text="" dxfId="6">
      <formula>AND(TODAY()&gt;=F$7,TODAY()&lt;=F$7+6)</formula>
    </cfRule>
  </conditionalFormatting>
  <dataValidations count="1">
    <dataValidation allowBlank="true" errorStyle="stop" operator="between" showDropDown="false" showErrorMessage="false" showInputMessage="false" sqref="C9:C18 C21:C24 C26:C29 C31:C34 C36:C39 C41:C45 C47:C50" type="list">
      <formula1>"Deep,ПСБ,Deep + ПСБ"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2026-10-20T22:47:21Z</dcterms:created>
  <dc:creator>openpyxl</dc:creator>
  <dc:description/>
  <dc:language>en-US</dc:language>
  <cp:lastModifiedBy/>
  <dcterms:modified xsi:type="dcterms:W3CDTF">2026-10-20T22:47:21Z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